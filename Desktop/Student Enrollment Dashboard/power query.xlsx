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hidePivotFieldList="1" defaultThemeVersion="164011"/>
  <mc:AlternateContent xmlns:mc="http://schemas.openxmlformats.org/markup-compatibility/2006">
    <mc:Choice Requires="x15">
      <x15ac:absPath xmlns:x15ac="http://schemas.microsoft.com/office/spreadsheetml/2010/11/ac" url="C:\Users\JUST BUY PC\Documents\"/>
    </mc:Choice>
  </mc:AlternateContent>
  <bookViews>
    <workbookView xWindow="0" yWindow="0" windowWidth="23040" windowHeight="9072" activeTab="3"/>
  </bookViews>
  <sheets>
    <sheet name="course wise enrollment" sheetId="12" r:id="rId1"/>
    <sheet name="Fees Status Breakdown" sheetId="14" r:id="rId2"/>
    <sheet name="KPI metrics" sheetId="16" r:id="rId3"/>
    <sheet name="dashboard" sheetId="17" r:id="rId4"/>
    <sheet name="Data" sheetId="2" r:id="rId5"/>
  </sheets>
  <definedNames>
    <definedName name="ExternalData_1" localSheetId="4" hidden="1">Data!$A$1:$H$67</definedName>
    <definedName name="Slicer_Course">#N/A</definedName>
    <definedName name="Slicer_Fee_Status">#N/A</definedName>
  </definedNames>
  <calcPr calcId="162913"/>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 i="2"/>
</calcChain>
</file>

<file path=xl/connections.xml><?xml version="1.0" encoding="utf-8"?>
<connections xmlns="http://schemas.openxmlformats.org/spreadsheetml/2006/main">
  <connection id="1" keepAlive="1" name="Query - Ring of Power" description="Connection to the 'Ring of Power' query in the workbook." type="5" refreshedVersion="0" background="1" saveData="1">
    <dbPr connection="Provider=Microsoft.Mashup.OleDb.1;Data Source=$Workbook$;Location=&quot;Ring of Power&quot;" command="SELECT * FROM [Ring of Power]"/>
  </connection>
</connections>
</file>

<file path=xl/sharedStrings.xml><?xml version="1.0" encoding="utf-8"?>
<sst xmlns="http://schemas.openxmlformats.org/spreadsheetml/2006/main" count="122" uniqueCount="93">
  <si>
    <t>Name</t>
  </si>
  <si>
    <t>Email</t>
  </si>
  <si>
    <t>Course</t>
  </si>
  <si>
    <t>Registration Date</t>
  </si>
  <si>
    <t>Fee Paid</t>
  </si>
  <si>
    <t>Course Start</t>
  </si>
  <si>
    <t>Fee Status</t>
  </si>
  <si>
    <t>Hailey Antcliff</t>
  </si>
  <si>
    <t>Hailey_Antcliff9757@yahoo.audio</t>
  </si>
  <si>
    <t>Leadership</t>
  </si>
  <si>
    <t>HaileyA</t>
  </si>
  <si>
    <t>Harvey Reyes</t>
  </si>
  <si>
    <t>Harvey_Reyes9354@voylg.directory</t>
  </si>
  <si>
    <t>Analytics</t>
  </si>
  <si>
    <t>HarveyR</t>
  </si>
  <si>
    <t>Carina Stubbs</t>
  </si>
  <si>
    <t>Carina_Stubbs8509@jh02o.org</t>
  </si>
  <si>
    <t>Accounting</t>
  </si>
  <si>
    <t>CarinaS</t>
  </si>
  <si>
    <t>Ramon Redden</t>
  </si>
  <si>
    <t>Ramon_Redden905@1kmd3.club</t>
  </si>
  <si>
    <t>Design and technology</t>
  </si>
  <si>
    <t>RamonR</t>
  </si>
  <si>
    <t>Matt Ashley</t>
  </si>
  <si>
    <t>Matt_Ashley6946@jh02o.info</t>
  </si>
  <si>
    <t>MattA</t>
  </si>
  <si>
    <t>Ronald Newton</t>
  </si>
  <si>
    <t>Ronald_Newton1403@1kmd3.com</t>
  </si>
  <si>
    <t>RonaldN</t>
  </si>
  <si>
    <t>Jack Hobbs</t>
  </si>
  <si>
    <t>Jack_Hobbs4073@evyvh.auction</t>
  </si>
  <si>
    <t>JackH</t>
  </si>
  <si>
    <t>Elena Shelton</t>
  </si>
  <si>
    <t>Elena_Shelton5238@karnv.org</t>
  </si>
  <si>
    <t>ElenaS</t>
  </si>
  <si>
    <t>Tom Alldridge</t>
  </si>
  <si>
    <t>Tom_Alldridge5905@gkvds.property</t>
  </si>
  <si>
    <t>TomA</t>
  </si>
  <si>
    <t>Henry Edmonds</t>
  </si>
  <si>
    <t>Henry_Edmonds4807@dbxli.store</t>
  </si>
  <si>
    <t>HenryE</t>
  </si>
  <si>
    <t>Jack Hudson</t>
  </si>
  <si>
    <t>Jack_Hudson8090@yafr7.audio</t>
  </si>
  <si>
    <t>Hadley Brown</t>
  </si>
  <si>
    <t>Hadley_Brown7577@xqj6f.business</t>
  </si>
  <si>
    <t>HadleyB</t>
  </si>
  <si>
    <t>Carrie Simpson</t>
  </si>
  <si>
    <t>Carrie_Simpson7773@qu9ml.catering</t>
  </si>
  <si>
    <t>CarrieS</t>
  </si>
  <si>
    <t>Harvey Bell</t>
  </si>
  <si>
    <t>Harvey_Bell7932@bu2lo.website</t>
  </si>
  <si>
    <t>HarveyB</t>
  </si>
  <si>
    <t>Barney Morris</t>
  </si>
  <si>
    <t>Barney_Morris5647@hepmv.autos</t>
  </si>
  <si>
    <t>BarneyM</t>
  </si>
  <si>
    <t>Caydence Fisher</t>
  </si>
  <si>
    <t>Caydence_Fisher2480@bcfhs.store</t>
  </si>
  <si>
    <t>CaydenceF</t>
  </si>
  <si>
    <t>Denny Bell</t>
  </si>
  <si>
    <t>Denny_Bell8404@cke3u.property</t>
  </si>
  <si>
    <t>DennyB</t>
  </si>
  <si>
    <t>Nicole Norton</t>
  </si>
  <si>
    <t>Nicole_Norton7231@avn7d.zone</t>
  </si>
  <si>
    <t>NicoleN</t>
  </si>
  <si>
    <t>Daria Little</t>
  </si>
  <si>
    <t>Daria_Little6096@3wbkp.app</t>
  </si>
  <si>
    <t>DariaL</t>
  </si>
  <si>
    <t>Lindsay Taylor</t>
  </si>
  <si>
    <t>Lindsay_Taylor7452@kyb7t.com</t>
  </si>
  <si>
    <t>LindsayT</t>
  </si>
  <si>
    <t>Mason Davies</t>
  </si>
  <si>
    <t>Mason_Davies1960@kyb7t.software</t>
  </si>
  <si>
    <t>MasonD</t>
  </si>
  <si>
    <t>Phoebe Morrison</t>
  </si>
  <si>
    <t>Phoebe_Morrison8611@xtwt3.store</t>
  </si>
  <si>
    <t>PhoebeM</t>
  </si>
  <si>
    <t>Nate Thornton</t>
  </si>
  <si>
    <t>Nate_Thornton707@iaart.us</t>
  </si>
  <si>
    <t>NateT</t>
  </si>
  <si>
    <t>Hayden Nanton</t>
  </si>
  <si>
    <t>Hayden_Nanton4520@yafr7.solutions</t>
  </si>
  <si>
    <t>HaydenN</t>
  </si>
  <si>
    <t>Evie Robe</t>
  </si>
  <si>
    <t>Evie_Robe9866@yahoo.mobi</t>
  </si>
  <si>
    <t>EvieR</t>
  </si>
  <si>
    <t>Row Labels</t>
  </si>
  <si>
    <t>(blank)</t>
  </si>
  <si>
    <t>Sum of Fee Paid</t>
  </si>
  <si>
    <t>IDS</t>
  </si>
  <si>
    <t>Count of Name</t>
  </si>
  <si>
    <t>course name</t>
  </si>
  <si>
    <t>Fully Paid</t>
  </si>
  <si>
    <t>Partly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</si>
</sst>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[poer query.xlsx]course wise enrollment!PivotTable1</c:name>
    <c:fmtId val="0"/>
  </c:pivotSource>
  <c:chart>
    <c:title>
      <c:tx>
        <c:rich>
          <a:bodyPr rot="0" spcFirstLastPara="1" vertOverflow="ellipsis" vert="horz" wrap="square" anchor="ctr" anchorCtr="1"/>
          <a:lstStyle/>
          <a:p>
            <a:pPr lvl="1" algn="ctr" rtl="0">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baseline="0"/>
              <a:t>Course-wise Enrollment</a:t>
            </a:r>
            <a:endParaRPr lang="en-US"/>
          </a:p>
        </c:rich>
      </c:tx>
      <c:layout>
        <c:manualLayout>
          <c:xMode val="edge"/>
          <c:yMode val="edge"/>
          <c:x val="0.24527777777777779"/>
          <c:y val="3.2407407407407406E-2"/>
        </c:manualLayout>
      </c:layout>
      <c:overlay val="0"/>
      <c:spPr>
        <a:noFill/>
        <a:ln>
          <a:noFill/>
        </a:ln>
        <a:effectLst/>
      </c:spPr>
      <c:txPr>
        <a:bodyPr rot="0" spcFirstLastPara="1" vertOverflow="ellipsis" vert="horz" wrap="square" anchor="ctr" anchorCtr="1"/>
        <a:lstStyle/>
        <a:p>
          <a:pPr lvl="1" algn="ctr"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'course wise enrollment'!$B$3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'course wise enrollment'!$A$4:$A$8</c:f>
              <c:strCache>
                <c:ptCount val="5"/>
                <c:pt idx="0">
                  <c:v>Accounting</c:v>
                </c:pt>
                <c:pt idx="1">
                  <c:v>Analytics</c:v>
                </c:pt>
                <c:pt idx="2">
                  <c:v>Design and technology</c:v>
                </c:pt>
                <c:pt idx="3">
                  <c:v>Leadership</c:v>
                </c:pt>
                <c:pt idx="4">
                  <c:v>(blank)</c:v>
                </c:pt>
              </c:strCache>
            </c:strRef>
          </c:cat>
          <c:val>
            <c:numRef>
              <c:f>'course wise enrollment'!$B$4:$B$8</c:f>
              <c:numCache>
                <c:formatCode>General</c:formatCode>
                <c:ptCount val="5"/>
                <c:pt idx="0">
                  <c:v>2</c:v>
                </c:pt>
                <c:pt idx="1">
                  <c:v>11</c:v>
                </c:pt>
                <c:pt idx="2">
                  <c:v>6</c:v>
                </c:pt>
                <c:pt idx="3">
                  <c:v>6</c:v>
                </c:pt>
              </c:numCache>
            </c:numRef>
          </c:val>
          <c:extLst>
            <c:ext xmlns:c16="http://schemas.microsoft.com/office/drawing/2014/chart" uri="{C3380CC4-5D6E-409C-BE32-E72D297353CC}">
              <c16:uniqueId val="{00000003-A834-49D6-8B23-2AC2113AC4CF}"/>
            </c:ext>
          </c:extLst>
        </c:ser>
        <c:dLbls>
          <c:dLblPos val="outEnd"/>
          <c:showLegendKey val="0"/>
          <c:showVal val="1"/>
          <c:showCatName val="0"/>
          <c:showSerName val="0"/>
          <c:showPercent val="0"/>
          <c:showBubbleSize val="0"/>
        </c:dLbls>
        <c:gapWidth val="219"/>
        <c:overlap val="-27"/>
        <c:axId val="505636888"/>
        <c:axId val="505637216"/>
      </c:barChart>
      <c:catAx>
        <c:axId val="505636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637216"/>
        <c:crosses val="autoZero"/>
        <c:auto val="1"/>
        <c:lblAlgn val="ctr"/>
        <c:lblOffset val="100"/>
        <c:noMultiLvlLbl val="0"/>
      </c:catAx>
      <c:valAx>
        <c:axId val="50563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636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[poer query.xlsx]Fees Status Breakdown!PivotTable2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Fee Status Breakdown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doughnutChart>
        <c:varyColors val="1"/>
        <c:ser>
          <c:idx val="0"/>
          <c:order val="0"/>
          <c:tx>
            <c:strRef>
              <c:f>'Fees Status Breakdown'!$B$3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'Fees Status Breakdown'!$A$4:$A$6</c:f>
              <c:strCache>
                <c:ptCount val="3"/>
                <c:pt idx="0">
                  <c:v>Fully Paid</c:v>
                </c:pt>
                <c:pt idx="1">
                  <c:v>Partly Paid</c:v>
                </c:pt>
                <c:pt idx="2">
                  <c:v>(blank)</c:v>
                </c:pt>
              </c:strCache>
            </c:strRef>
          </c:cat>
          <c:val>
            <c:numRef>
              <c:f>'Fees Status Breakdown'!$B$4:$B$6</c:f>
              <c:numCache>
                <c:formatCode>General</c:formatCode>
                <c:ptCount val="3"/>
                <c:pt idx="0">
                  <c:v>15</c:v>
                </c:pt>
                <c:pt idx="1">
                  <c:v>10</c:v>
                </c:pt>
              </c:numCache>
            </c:numRef>
          </c:val>
          <c:extLst>
            <c:ext xmlns:c16="http://schemas.microsoft.com/office/drawing/2014/chart" uri="{C3380CC4-5D6E-409C-BE32-E72D297353CC}">
              <c16:uniqueId val="{00000002-2123-459A-8AEF-66A34AB2C74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[poer query.xlsx]course wise enrollment!PivotTable1</c:name>
    <c:fmtId val="3"/>
  </c:pivotSource>
  <c:chart>
    <c:title>
      <c:tx>
        <c:rich>
          <a:bodyPr rot="0" spcFirstLastPara="1" vertOverflow="ellipsis" vert="horz" wrap="square" anchor="ctr" anchorCtr="1"/>
          <a:lstStyle/>
          <a:p>
            <a:pPr lvl="1" algn="ctr" rtl="0">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baseline="0"/>
              <a:t>Course-wise Enrollment</a:t>
            </a:r>
            <a:endParaRPr lang="en-US"/>
          </a:p>
        </c:rich>
      </c:tx>
      <c:layout>
        <c:manualLayout>
          <c:xMode val="edge"/>
          <c:yMode val="edge"/>
          <c:x val="0.24527777777777779"/>
          <c:y val="3.2407407407407406E-2"/>
        </c:manualLayout>
      </c:layout>
      <c:overlay val="0"/>
      <c:spPr>
        <a:noFill/>
        <a:ln>
          <a:noFill/>
        </a:ln>
        <a:effectLst/>
      </c:spPr>
      <c:txPr>
        <a:bodyPr rot="0" spcFirstLastPara="1" vertOverflow="ellipsis" vert="horz" wrap="square" anchor="ctr" anchorCtr="1"/>
        <a:lstStyle/>
        <a:p>
          <a:pPr lvl="1" algn="ctr"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'course wise enrollment'!$B$3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'course wise enrollment'!$A$4:$A$8</c:f>
              <c:strCache>
                <c:ptCount val="5"/>
                <c:pt idx="0">
                  <c:v>Accounting</c:v>
                </c:pt>
                <c:pt idx="1">
                  <c:v>Analytics</c:v>
                </c:pt>
                <c:pt idx="2">
                  <c:v>Design and technology</c:v>
                </c:pt>
                <c:pt idx="3">
                  <c:v>Leadership</c:v>
                </c:pt>
                <c:pt idx="4">
                  <c:v>(blank)</c:v>
                </c:pt>
              </c:strCache>
            </c:strRef>
          </c:cat>
          <c:val>
            <c:numRef>
              <c:f>'course wise enrollment'!$B$4:$B$8</c:f>
              <c:numCache>
                <c:formatCode>General</c:formatCode>
                <c:ptCount val="5"/>
                <c:pt idx="0">
                  <c:v>2</c:v>
                </c:pt>
                <c:pt idx="1">
                  <c:v>11</c:v>
                </c:pt>
                <c:pt idx="2">
                  <c:v>6</c:v>
                </c:pt>
                <c:pt idx="3">
                  <c:v>6</c:v>
                </c:pt>
              </c:numCache>
            </c:numRef>
          </c:val>
          <c:extLst>
            <c:ext xmlns:c16="http://schemas.microsoft.com/office/drawing/2014/chart" uri="{C3380CC4-5D6E-409C-BE32-E72D297353CC}">
              <c16:uniqueId val="{00000003-D6CC-4E92-B72D-46CFDBF67F79}"/>
            </c:ext>
          </c:extLst>
        </c:ser>
        <c:dLbls>
          <c:dLblPos val="outEnd"/>
          <c:showLegendKey val="0"/>
          <c:showVal val="1"/>
          <c:showCatName val="0"/>
          <c:showSerName val="0"/>
          <c:showPercent val="0"/>
          <c:showBubbleSize val="0"/>
        </c:dLbls>
        <c:gapWidth val="219"/>
        <c:overlap val="-27"/>
        <c:axId val="505636888"/>
        <c:axId val="505637216"/>
      </c:barChart>
      <c:catAx>
        <c:axId val="505636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637216"/>
        <c:crosses val="autoZero"/>
        <c:auto val="1"/>
        <c:lblAlgn val="ctr"/>
        <c:lblOffset val="100"/>
        <c:noMultiLvlLbl val="0"/>
      </c:catAx>
      <c:valAx>
        <c:axId val="50563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636888"/>
        <c:crosses val="autoZero"/>
        <c:crossBetween val="between"/>
      </c:valAx>
      <c:spPr>
        <a:no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[poer query.xlsx]Fees Status Breakdown!PivotTable2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Fee Status Breakdown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'Fees Status Breakdown'!$B$3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'Fees Status Breakdown'!$A$4:$A$6</c:f>
              <c:strCache>
                <c:ptCount val="3"/>
                <c:pt idx="0">
                  <c:v>Fully Paid</c:v>
                </c:pt>
                <c:pt idx="1">
                  <c:v>Partly Paid</c:v>
                </c:pt>
                <c:pt idx="2">
                  <c:v>(blank)</c:v>
                </c:pt>
              </c:strCache>
            </c:strRef>
          </c:cat>
          <c:val>
            <c:numRef>
              <c:f>'Fees Status Breakdown'!$B$4:$B$6</c:f>
              <c:numCache>
                <c:formatCode>General</c:formatCode>
                <c:ptCount val="3"/>
                <c:pt idx="0">
                  <c:v>15</c:v>
                </c:pt>
                <c:pt idx="1">
                  <c:v>10</c:v>
                </c:pt>
              </c:numCache>
            </c:numRef>
          </c:val>
          <c:extLst>
            <c:ext xmlns:c16="http://schemas.microsoft.com/office/drawing/2014/chart" uri="{C3380CC4-5D6E-409C-BE32-E72D297353CC}">
              <c16:uniqueId val="{00000005-61DB-400E-BB0D-CB9BBDB2D73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45720</xdr:colOff>
      <xdr:row>1</xdr:row>
      <xdr:rowOff>163830</xdr:rowOff>
    </xdr:from>
    <xdr:to>
      <xdr:col>9</xdr:col>
      <xdr:colOff>160020</xdr:colOff>
      <xdr:row>14</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2</xdr:row>
      <xdr:rowOff>0</xdr:rowOff>
    </xdr:from>
    <xdr:to>
      <xdr:col>9</xdr:col>
      <xdr:colOff>556260</xdr:colOff>
      <xdr:row>15</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38100</xdr:colOff>
      <xdr:row>4</xdr:row>
      <xdr:rowOff>76200</xdr:rowOff>
    </xdr:to>
    <xdr:sp macro="" textlink="">
      <xdr:nvSpPr>
        <xdr:cNvPr id="3" name="Rectangle 2"/>
        <xdr:cNvSpPr/>
      </xdr:nvSpPr>
      <xdr:spPr>
        <a:xfrm>
          <a:off x="0" y="0"/>
          <a:ext cx="15887700" cy="8077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chemeClr val="bg1"/>
              </a:solidFill>
            </a:rPr>
            <a:t>Student Enrollment &amp; Financial Analytics Dashboard</a:t>
          </a:r>
        </a:p>
      </xdr:txBody>
    </xdr:sp>
    <xdr:clientData/>
  </xdr:twoCellAnchor>
  <xdr:twoCellAnchor>
    <xdr:from>
      <xdr:col>0</xdr:col>
      <xdr:colOff>137160</xdr:colOff>
      <xdr:row>5</xdr:row>
      <xdr:rowOff>22860</xdr:rowOff>
    </xdr:from>
    <xdr:to>
      <xdr:col>4</xdr:col>
      <xdr:colOff>144780</xdr:colOff>
      <xdr:row>14</xdr:row>
      <xdr:rowOff>15240</xdr:rowOff>
    </xdr:to>
    <xdr:sp macro="" textlink="$D$22">
      <xdr:nvSpPr>
        <xdr:cNvPr id="5" name="Rounded Rectangle 4"/>
        <xdr:cNvSpPr/>
      </xdr:nvSpPr>
      <xdr:spPr>
        <a:xfrm>
          <a:off x="137160" y="937260"/>
          <a:ext cx="2446020" cy="163830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8AD9363-7D5F-4A2D-B2FB-053FD31AC1C5}" type="TxLink">
            <a:rPr lang="en-US" sz="1100" b="0" i="0" u="none" strike="noStrike">
              <a:solidFill>
                <a:srgbClr val="000000"/>
              </a:solidFill>
              <a:latin typeface="Calibri"/>
              <a:ea typeface="Calibri"/>
              <a:cs typeface="Calibri"/>
            </a:rPr>
            <a:pPr algn="ctr"/>
            <a:t> </a:t>
          </a:fld>
          <a:endParaRPr lang="en-US" sz="1100"/>
        </a:p>
      </xdr:txBody>
    </xdr:sp>
    <xdr:clientData/>
  </xdr:twoCellAnchor>
  <xdr:oneCellAnchor>
    <xdr:from>
      <xdr:col>0</xdr:col>
      <xdr:colOff>571500</xdr:colOff>
      <xdr:row>6</xdr:row>
      <xdr:rowOff>106680</xdr:rowOff>
    </xdr:from>
    <xdr:ext cx="457200" cy="264560"/>
    <xdr:sp macro="" textlink="">
      <xdr:nvSpPr>
        <xdr:cNvPr id="6" name="TextBox 5"/>
        <xdr:cNvSpPr txBox="1"/>
      </xdr:nvSpPr>
      <xdr:spPr>
        <a:xfrm>
          <a:off x="571500" y="1203960"/>
          <a:ext cx="457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endParaRPr lang="en-US" sz="1100"/>
        </a:p>
      </xdr:txBody>
    </xdr:sp>
    <xdr:clientData/>
  </xdr:oneCellAnchor>
  <xdr:twoCellAnchor>
    <xdr:from>
      <xdr:col>0</xdr:col>
      <xdr:colOff>335280</xdr:colOff>
      <xdr:row>5</xdr:row>
      <xdr:rowOff>114300</xdr:rowOff>
    </xdr:from>
    <xdr:to>
      <xdr:col>3</xdr:col>
      <xdr:colOff>396240</xdr:colOff>
      <xdr:row>8</xdr:row>
      <xdr:rowOff>114300</xdr:rowOff>
    </xdr:to>
    <xdr:sp macro="" textlink="">
      <xdr:nvSpPr>
        <xdr:cNvPr id="4097" name="Text Box 1"/>
        <xdr:cNvSpPr txBox="1">
          <a:spLocks noChangeArrowheads="1"/>
        </xdr:cNvSpPr>
      </xdr:nvSpPr>
      <xdr:spPr bwMode="auto">
        <a:xfrm>
          <a:off x="335280" y="1028700"/>
          <a:ext cx="1889760" cy="548640"/>
        </a:xfrm>
        <a:prstGeom prst="rect">
          <a:avLst/>
        </a:prstGeom>
        <a:solidFill>
          <a:schemeClr val="accent1">
            <a:lumMod val="40000"/>
            <a:lumOff val="60000"/>
          </a:schemeClr>
        </a:solidFill>
        <a:ln>
          <a:noFill/>
          <a:headEnd/>
          <a:tailEnd/>
        </a:ln>
      </xdr:spPr>
      <xdr:style>
        <a:lnRef idx="2">
          <a:schemeClr val="accent1">
            <a:shade val="50000"/>
          </a:schemeClr>
        </a:lnRef>
        <a:fillRef idx="1">
          <a:schemeClr val="accent1"/>
        </a:fillRef>
        <a:effectRef idx="0">
          <a:schemeClr val="accent1"/>
        </a:effectRef>
        <a:fontRef idx="minor">
          <a:schemeClr val="lt1"/>
        </a:fontRef>
      </xdr:style>
      <xdr:txBody>
        <a:bodyPr vertOverflow="clip" wrap="square" lIns="36576" tIns="32004" rIns="0" bIns="0" anchor="ctr" upright="1"/>
        <a:lstStyle/>
        <a:p>
          <a:pPr algn="ctr" rtl="0">
            <a:defRPr sz="1000"/>
          </a:pPr>
          <a:r>
            <a:rPr lang="en-US" sz="2400" b="1" i="0" u="none" strike="noStrike" baseline="0">
              <a:solidFill>
                <a:srgbClr val="0070C0"/>
              </a:solidFill>
              <a:latin typeface="Calibri"/>
              <a:ea typeface="Calibri"/>
              <a:cs typeface="Calibri"/>
            </a:rPr>
            <a:t>Total Revenue</a:t>
          </a:r>
        </a:p>
      </xdr:txBody>
    </xdr:sp>
    <xdr:clientData/>
  </xdr:twoCellAnchor>
  <xdr:oneCellAnchor>
    <xdr:from>
      <xdr:col>0</xdr:col>
      <xdr:colOff>434340</xdr:colOff>
      <xdr:row>8</xdr:row>
      <xdr:rowOff>149734</xdr:rowOff>
    </xdr:from>
    <xdr:ext cx="1676400" cy="468013"/>
    <xdr:sp macro="" textlink="'KPI metrics'!$B$4">
      <xdr:nvSpPr>
        <xdr:cNvPr id="7" name="TextBox 6"/>
        <xdr:cNvSpPr txBox="1"/>
      </xdr:nvSpPr>
      <xdr:spPr>
        <a:xfrm>
          <a:off x="434340" y="1612774"/>
          <a:ext cx="16764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2F7C39AF-43FE-4642-8781-5FF9AAF1C3E1}" type="TxLink">
            <a:rPr lang="en-US" sz="2400" b="1" i="0" u="none" strike="noStrike">
              <a:solidFill>
                <a:srgbClr val="0070C0"/>
              </a:solidFill>
              <a:latin typeface="Calibri"/>
              <a:ea typeface="Calibri"/>
              <a:cs typeface="Calibri"/>
            </a:rPr>
            <a:pPr algn="ctr"/>
            <a:t>9250</a:t>
          </a:fld>
          <a:endParaRPr lang="en-US" sz="2400" b="1">
            <a:solidFill>
              <a:srgbClr val="0070C0"/>
            </a:solidFill>
          </a:endParaRPr>
        </a:p>
      </xdr:txBody>
    </xdr:sp>
    <xdr:clientData/>
  </xdr:oneCellAnchor>
  <xdr:twoCellAnchor>
    <xdr:from>
      <xdr:col>4</xdr:col>
      <xdr:colOff>350520</xdr:colOff>
      <xdr:row>5</xdr:row>
      <xdr:rowOff>22860</xdr:rowOff>
    </xdr:from>
    <xdr:to>
      <xdr:col>8</xdr:col>
      <xdr:colOff>350520</xdr:colOff>
      <xdr:row>14</xdr:row>
      <xdr:rowOff>38100</xdr:rowOff>
    </xdr:to>
    <xdr:sp macro="" textlink="$D$22">
      <xdr:nvSpPr>
        <xdr:cNvPr id="12" name="Rounded Rectangle 11"/>
        <xdr:cNvSpPr/>
      </xdr:nvSpPr>
      <xdr:spPr>
        <a:xfrm>
          <a:off x="2788920" y="937260"/>
          <a:ext cx="2438400" cy="166116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8AD9363-7D5F-4A2D-B2FB-053FD31AC1C5}" type="TxLink">
            <a:rPr lang="en-US" sz="1100" b="0" i="0" u="none" strike="noStrike">
              <a:solidFill>
                <a:srgbClr val="000000"/>
              </a:solidFill>
              <a:latin typeface="Calibri"/>
              <a:ea typeface="Calibri"/>
              <a:cs typeface="Calibri"/>
            </a:rPr>
            <a:pPr algn="ctr"/>
            <a:t> </a:t>
          </a:fld>
          <a:endParaRPr lang="en-US" sz="1100"/>
        </a:p>
      </xdr:txBody>
    </xdr:sp>
    <xdr:clientData/>
  </xdr:twoCellAnchor>
  <xdr:twoCellAnchor>
    <xdr:from>
      <xdr:col>4</xdr:col>
      <xdr:colOff>563880</xdr:colOff>
      <xdr:row>5</xdr:row>
      <xdr:rowOff>99060</xdr:rowOff>
    </xdr:from>
    <xdr:to>
      <xdr:col>8</xdr:col>
      <xdr:colOff>167640</xdr:colOff>
      <xdr:row>8</xdr:row>
      <xdr:rowOff>160020</xdr:rowOff>
    </xdr:to>
    <xdr:sp macro="" textlink="">
      <xdr:nvSpPr>
        <xdr:cNvPr id="13" name="Text Box 2"/>
        <xdr:cNvSpPr txBox="1">
          <a:spLocks noChangeArrowheads="1"/>
        </xdr:cNvSpPr>
      </xdr:nvSpPr>
      <xdr:spPr bwMode="auto">
        <a:xfrm>
          <a:off x="3002280" y="1013460"/>
          <a:ext cx="2042160" cy="609600"/>
        </a:xfrm>
        <a:prstGeom prst="rect">
          <a:avLst/>
        </a:prstGeom>
        <a:solidFill>
          <a:schemeClr val="accent1">
            <a:lumMod val="40000"/>
            <a:lumOff val="60000"/>
          </a:schemeClr>
        </a:solidFill>
        <a:ln w="9525">
          <a:noFill/>
          <a:miter lim="800000"/>
          <a:headEnd/>
          <a:tailEnd/>
        </a:ln>
      </xdr:spPr>
      <xdr:txBody>
        <a:bodyPr vertOverflow="clip" wrap="square" lIns="36576" tIns="32004" rIns="0" bIns="0" anchor="ctr" upright="1"/>
        <a:lstStyle/>
        <a:p>
          <a:pPr algn="ctr" rtl="0">
            <a:defRPr sz="1000"/>
          </a:pPr>
          <a:r>
            <a:rPr lang="en-US" sz="2400" b="1" i="0" u="none" strike="noStrike" baseline="0">
              <a:solidFill>
                <a:srgbClr val="0070C0"/>
              </a:solidFill>
              <a:latin typeface="Calibri"/>
              <a:ea typeface="Calibri"/>
              <a:cs typeface="Calibri"/>
            </a:rPr>
            <a:t>Total Students </a:t>
          </a:r>
        </a:p>
      </xdr:txBody>
    </xdr:sp>
    <xdr:clientData/>
  </xdr:twoCellAnchor>
  <xdr:twoCellAnchor>
    <xdr:from>
      <xdr:col>6</xdr:col>
      <xdr:colOff>30480</xdr:colOff>
      <xdr:row>9</xdr:row>
      <xdr:rowOff>22860</xdr:rowOff>
    </xdr:from>
    <xdr:to>
      <xdr:col>7</xdr:col>
      <xdr:colOff>441960</xdr:colOff>
      <xdr:row>11</xdr:row>
      <xdr:rowOff>0</xdr:rowOff>
    </xdr:to>
    <xdr:sp macro="" textlink="'KPI metrics'!$A$4">
      <xdr:nvSpPr>
        <xdr:cNvPr id="14" name="TextBox 13"/>
        <xdr:cNvSpPr txBox="1"/>
      </xdr:nvSpPr>
      <xdr:spPr>
        <a:xfrm>
          <a:off x="3688080" y="1668780"/>
          <a:ext cx="1021080" cy="34290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1B6DDEB-92A5-4E64-A260-13E0F9BB2D47}" type="TxLink">
            <a:rPr lang="en-US" sz="2800" b="1" i="0" u="none" strike="noStrike">
              <a:solidFill>
                <a:srgbClr val="0070C0"/>
              </a:solidFill>
              <a:latin typeface="Calibri"/>
              <a:ea typeface="Calibri"/>
              <a:cs typeface="Calibri"/>
            </a:rPr>
            <a:pPr algn="l"/>
            <a:t>25</a:t>
          </a:fld>
          <a:endParaRPr lang="en-US" sz="2800" b="1">
            <a:solidFill>
              <a:srgbClr val="0070C0"/>
            </a:solidFill>
          </a:endParaRPr>
        </a:p>
      </xdr:txBody>
    </xdr:sp>
    <xdr:clientData/>
  </xdr:twoCellAnchor>
  <xdr:twoCellAnchor>
    <xdr:from>
      <xdr:col>8</xdr:col>
      <xdr:colOff>601980</xdr:colOff>
      <xdr:row>5</xdr:row>
      <xdr:rowOff>83820</xdr:rowOff>
    </xdr:from>
    <xdr:to>
      <xdr:col>15</xdr:col>
      <xdr:colOff>106680</xdr:colOff>
      <xdr:row>18</xdr:row>
      <xdr:rowOff>87630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312420</xdr:colOff>
      <xdr:row>5</xdr:row>
      <xdr:rowOff>60960</xdr:rowOff>
    </xdr:from>
    <xdr:to>
      <xdr:col>21</xdr:col>
      <xdr:colOff>76200</xdr:colOff>
      <xdr:row>18</xdr:row>
      <xdr:rowOff>118110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289560</xdr:colOff>
      <xdr:row>14</xdr:row>
      <xdr:rowOff>175260</xdr:rowOff>
    </xdr:from>
    <xdr:to>
      <xdr:col>3</xdr:col>
      <xdr:colOff>289560</xdr:colOff>
      <xdr:row>28</xdr:row>
      <xdr:rowOff>81915</xdr:rowOff>
    </xdr:to>
    <mc:AlternateContent xmlns:mc="http://schemas.openxmlformats.org/markup-compatibility/2006">
      <mc:Choice xmlns:a14="http://schemas.microsoft.com/office/drawing/2010/main" Requires="a14">
        <xdr:graphicFrame macro="">
          <xdr:nvGraphicFramePr>
            <xdr:cNvPr id="11" name="Course"/>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dr:sp macro="" textlink="">
          <xdr:nvSpPr>
            <xdr:cNvPr id="0" name=""/>
            <xdr:cNvSpPr>
              <a:spLocks noTextEdit="1"/>
            </xdr:cNvSpPr>
          </xdr:nvSpPr>
          <xdr:spPr>
            <a:xfrm>
              <a:off x="289560" y="2735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548640</xdr:colOff>
      <xdr:row>14</xdr:row>
      <xdr:rowOff>152400</xdr:rowOff>
    </xdr:from>
    <xdr:to>
      <xdr:col>6</xdr:col>
      <xdr:colOff>548640</xdr:colOff>
      <xdr:row>28</xdr:row>
      <xdr:rowOff>59055</xdr:rowOff>
    </xdr:to>
    <mc:AlternateContent xmlns:mc="http://schemas.openxmlformats.org/markup-compatibility/2006">
      <mc:Choice xmlns:a14="http://schemas.microsoft.com/office/drawing/2010/main" Requires="a14">
        <xdr:graphicFrame macro="">
          <xdr:nvGraphicFramePr>
            <xdr:cNvPr id="18" name="Fee Status"/>
            <xdr:cNvGraphicFramePr/>
          </xdr:nvGraphicFramePr>
          <xdr:xfrm>
            <a:off x="0" y="0"/>
            <a:ext cx="0" cy="0"/>
          </xdr:xfrm>
          <a:graphic>
            <a:graphicData uri="http://schemas.microsoft.com/office/drawing/2010/slicer">
              <sle:slicer xmlns:sle="http://schemas.microsoft.com/office/drawing/2010/slicer" name="Fee Status"/>
            </a:graphicData>
          </a:graphic>
        </xdr:graphicFrame>
      </mc:Choice>
      <mc:Fallback>
        <xdr:sp macro="" textlink="">
          <xdr:nvSpPr>
            <xdr:cNvPr id="0" name=""/>
            <xdr:cNvSpPr>
              <a:spLocks noTextEdit="1"/>
            </xdr:cNvSpPr>
          </xdr:nvSpPr>
          <xdr:spPr>
            <a:xfrm>
              <a:off x="2377440" y="2712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UST BUY PC" refreshedDate="46161.960035416669" createdVersion="6" refreshedVersion="6" minRefreshableVersion="3" recordCount="66">
  <cacheSource type="worksheet">
    <worksheetSource name="book1"/>
  </cacheSource>
  <cacheFields count="8">
    <cacheField name="Name" numFmtId="0">
      <sharedItems containsBlank="1" count="26">
        <s v="Hailey Antcliff"/>
        <s v="Harvey Reyes"/>
        <s v="Carina Stubbs"/>
        <s v="Ramon Redden"/>
        <s v="Matt Ashley"/>
        <s v="Ronald Newton"/>
        <s v="Jack Hobbs"/>
        <s v="Elena Shelton"/>
        <s v="Tom Alldridge"/>
        <s v="Henry Edmonds"/>
        <s v="Jack Hudson"/>
        <s v="Hadley Brown"/>
        <s v="Carrie Simpson"/>
        <s v="Harvey Bell"/>
        <s v="Barney Morris"/>
        <s v="Caydence Fisher"/>
        <s v="Denny Bell"/>
        <s v="Nicole Norton"/>
        <s v="Daria Little"/>
        <s v="Lindsay Taylor"/>
        <s v="Mason Davies"/>
        <s v="Phoebe Morrison"/>
        <s v="Nate Thornton"/>
        <s v="Hayden Nanton"/>
        <s v="Evie Robe"/>
        <m/>
      </sharedItems>
    </cacheField>
    <cacheField name="Email" numFmtId="0">
      <sharedItems containsBlank="1"/>
    </cacheField>
    <cacheField name="Course" numFmtId="0">
      <sharedItems containsBlank="1" count="5">
        <s v="Leadership"/>
        <s v="Analytics"/>
        <s v="Accounting"/>
        <s v="Design and technology"/>
        <m/>
      </sharedItems>
    </cacheField>
    <cacheField name="Registration Date" numFmtId="14">
      <sharedItems containsNonDate="0" containsDate="1" containsString="0" containsBlank="1" minDate="2022-12-02T00:00:00" maxDate="2022-12-31T00:00:00"/>
    </cacheField>
    <cacheField name="Fee Paid" numFmtId="0">
      <sharedItems containsString="0" containsBlank="1" containsNumber="1" containsInteger="1" minValue="100" maxValue="500" count="4">
        <n v="500"/>
        <n v="100"/>
        <n v="250"/>
        <m/>
      </sharedItems>
    </cacheField>
    <cacheField name="IDS" numFmtId="0">
      <sharedItems containsBlank="1"/>
    </cacheField>
    <cacheField name="Course Start" numFmtId="0">
      <sharedItems containsNonDate="0" containsDate="1" containsString="0" containsBlank="1" minDate="2023-02-01T00:00:00" maxDate="2023-04-02T00:00:00"/>
    </cacheField>
    <cacheField name="Fee Status" numFmtId="0">
      <sharedItems containsBlank="1" count="3">
        <s v="Fully Paid"/>
        <s v="Partly Paid"/>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6">
  <r>
    <x v="0"/>
    <s v="Hailey_Antcliff9757@yahoo.audio"/>
    <x v="0"/>
    <d v="2022-12-14T00:00:00"/>
    <x v="0"/>
    <s v="HaileyA"/>
    <d v="2023-02-01T00:00:00"/>
    <x v="0"/>
  </r>
  <r>
    <x v="1"/>
    <s v="Harvey_Reyes9354@voylg.directory"/>
    <x v="1"/>
    <d v="2022-12-30T00:00:00"/>
    <x v="0"/>
    <s v="HarveyR"/>
    <d v="2023-04-01T00:00:00"/>
    <x v="0"/>
  </r>
  <r>
    <x v="2"/>
    <s v="Carina_Stubbs8509@jh02o.org"/>
    <x v="2"/>
    <d v="2022-12-04T00:00:00"/>
    <x v="0"/>
    <s v="CarinaS"/>
    <d v="2023-02-01T00:00:00"/>
    <x v="0"/>
  </r>
  <r>
    <x v="3"/>
    <s v="Ramon_Redden905@1kmd3.club"/>
    <x v="3"/>
    <d v="2022-12-07T00:00:00"/>
    <x v="0"/>
    <s v="RamonR"/>
    <d v="2023-02-01T00:00:00"/>
    <x v="0"/>
  </r>
  <r>
    <x v="4"/>
    <s v="Matt_Ashley6946@jh02o.info"/>
    <x v="1"/>
    <d v="2022-12-30T00:00:00"/>
    <x v="1"/>
    <s v="MattA"/>
    <d v="2023-04-01T00:00:00"/>
    <x v="1"/>
  </r>
  <r>
    <x v="5"/>
    <s v="Ronald_Newton1403@1kmd3.com"/>
    <x v="3"/>
    <d v="2022-12-22T00:00:00"/>
    <x v="0"/>
    <s v="RonaldN"/>
    <d v="2023-04-01T00:00:00"/>
    <x v="0"/>
  </r>
  <r>
    <x v="6"/>
    <s v="Jack_Hobbs4073@evyvh.auction"/>
    <x v="3"/>
    <d v="2022-12-07T00:00:00"/>
    <x v="0"/>
    <s v="JackH"/>
    <d v="2023-02-01T00:00:00"/>
    <x v="0"/>
  </r>
  <r>
    <x v="7"/>
    <s v="Elena_Shelton5238@karnv.org"/>
    <x v="1"/>
    <d v="2022-12-02T00:00:00"/>
    <x v="0"/>
    <s v="ElenaS"/>
    <d v="2023-02-01T00:00:00"/>
    <x v="0"/>
  </r>
  <r>
    <x v="8"/>
    <s v="Tom_Alldridge5905@gkvds.property"/>
    <x v="1"/>
    <d v="2022-12-10T00:00:00"/>
    <x v="0"/>
    <s v="TomA"/>
    <d v="2023-02-01T00:00:00"/>
    <x v="0"/>
  </r>
  <r>
    <x v="9"/>
    <s v="Henry_Edmonds4807@dbxli.store"/>
    <x v="1"/>
    <d v="2022-12-21T00:00:00"/>
    <x v="0"/>
    <s v="HenryE"/>
    <d v="2023-04-01T00:00:00"/>
    <x v="0"/>
  </r>
  <r>
    <x v="10"/>
    <s v="Jack_Hudson8090@yafr7.audio"/>
    <x v="0"/>
    <d v="2022-12-26T00:00:00"/>
    <x v="2"/>
    <s v="JackH"/>
    <d v="2023-04-01T00:00:00"/>
    <x v="1"/>
  </r>
  <r>
    <x v="11"/>
    <s v="Hadley_Brown7577@xqj6f.business"/>
    <x v="0"/>
    <d v="2022-12-17T00:00:00"/>
    <x v="0"/>
    <s v="HadleyB"/>
    <d v="2023-04-01T00:00:00"/>
    <x v="0"/>
  </r>
  <r>
    <x v="12"/>
    <s v="Carrie_Simpson7773@qu9ml.catering"/>
    <x v="1"/>
    <d v="2022-12-15T00:00:00"/>
    <x v="2"/>
    <s v="CarrieS"/>
    <d v="2023-04-01T00:00:00"/>
    <x v="1"/>
  </r>
  <r>
    <x v="13"/>
    <s v="Harvey_Bell7932@bu2lo.website"/>
    <x v="1"/>
    <d v="2022-12-03T00:00:00"/>
    <x v="0"/>
    <s v="HarveyB"/>
    <d v="2023-02-01T00:00:00"/>
    <x v="0"/>
  </r>
  <r>
    <x v="14"/>
    <s v="Barney_Morris5647@hepmv.autos"/>
    <x v="1"/>
    <d v="2022-12-24T00:00:00"/>
    <x v="0"/>
    <s v="BarneyM"/>
    <d v="2023-04-01T00:00:00"/>
    <x v="0"/>
  </r>
  <r>
    <x v="15"/>
    <s v="Caydence_Fisher2480@bcfhs.store"/>
    <x v="0"/>
    <d v="2022-12-28T00:00:00"/>
    <x v="0"/>
    <s v="CaydenceF"/>
    <d v="2023-04-01T00:00:00"/>
    <x v="0"/>
  </r>
  <r>
    <x v="16"/>
    <s v="Denny_Bell8404@cke3u.property"/>
    <x v="2"/>
    <d v="2022-12-16T00:00:00"/>
    <x v="2"/>
    <s v="DennyB"/>
    <d v="2023-04-01T00:00:00"/>
    <x v="1"/>
  </r>
  <r>
    <x v="17"/>
    <s v="Nicole_Norton7231@avn7d.zone"/>
    <x v="1"/>
    <d v="2022-12-23T00:00:00"/>
    <x v="2"/>
    <s v="NicoleN"/>
    <d v="2023-04-01T00:00:00"/>
    <x v="1"/>
  </r>
  <r>
    <x v="18"/>
    <s v="Daria_Little6096@3wbkp.app"/>
    <x v="3"/>
    <d v="2022-12-26T00:00:00"/>
    <x v="2"/>
    <s v="DariaL"/>
    <d v="2023-04-01T00:00:00"/>
    <x v="1"/>
  </r>
  <r>
    <x v="19"/>
    <s v="Lindsay_Taylor7452@kyb7t.com"/>
    <x v="0"/>
    <d v="2022-12-03T00:00:00"/>
    <x v="1"/>
    <s v="LindsayT"/>
    <d v="2023-02-01T00:00:00"/>
    <x v="1"/>
  </r>
  <r>
    <x v="20"/>
    <s v="Mason_Davies1960@kyb7t.software"/>
    <x v="1"/>
    <d v="2022-12-18T00:00:00"/>
    <x v="0"/>
    <s v="MasonD"/>
    <d v="2023-04-01T00:00:00"/>
    <x v="0"/>
  </r>
  <r>
    <x v="21"/>
    <s v="Phoebe_Morrison8611@xtwt3.store"/>
    <x v="3"/>
    <d v="2022-12-20T00:00:00"/>
    <x v="0"/>
    <s v="PhoebeM"/>
    <d v="2023-04-01T00:00:00"/>
    <x v="0"/>
  </r>
  <r>
    <x v="22"/>
    <s v="Nate_Thornton707@iaart.us"/>
    <x v="3"/>
    <d v="2022-12-27T00:00:00"/>
    <x v="1"/>
    <s v="NateT"/>
    <d v="2023-04-01T00:00:00"/>
    <x v="1"/>
  </r>
  <r>
    <x v="23"/>
    <s v="Hayden_Nanton4520@yafr7.solutions"/>
    <x v="0"/>
    <d v="2022-12-10T00:00:00"/>
    <x v="1"/>
    <s v="HaydenN"/>
    <d v="2023-02-01T00:00:00"/>
    <x v="1"/>
  </r>
  <r>
    <x v="24"/>
    <s v="Evie_Robe9866@yahoo.mobi"/>
    <x v="1"/>
    <d v="2022-12-24T00:00:00"/>
    <x v="1"/>
    <s v="EvieR"/>
    <d v="2023-04-01T00:00:00"/>
    <x v="1"/>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r>
    <x v="25"/>
    <m/>
    <x v="4"/>
    <m/>
    <x v="3"/>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course name">
  <location ref="A3:B8" firstHeaderRow="1" firstDataRow="1" firstDataCol="1"/>
  <pivotFields count="8">
    <pivotField dataField="1" showAll="0">
      <items count="27">
        <item x="14"/>
        <item x="2"/>
        <item x="12"/>
        <item x="15"/>
        <item x="18"/>
        <item x="16"/>
        <item x="7"/>
        <item x="24"/>
        <item x="11"/>
        <item x="0"/>
        <item x="13"/>
        <item x="1"/>
        <item x="23"/>
        <item x="9"/>
        <item x="6"/>
        <item x="10"/>
        <item x="19"/>
        <item x="20"/>
        <item x="4"/>
        <item x="22"/>
        <item x="17"/>
        <item x="21"/>
        <item x="3"/>
        <item x="5"/>
        <item x="8"/>
        <item x="25"/>
        <item t="default"/>
      </items>
    </pivotField>
    <pivotField showAll="0"/>
    <pivotField axis="axisRow" showAll="0">
      <items count="6">
        <item x="2"/>
        <item x="1"/>
        <item x="3"/>
        <item x="0"/>
        <item x="4"/>
        <item t="default"/>
      </items>
    </pivotField>
    <pivotField showAll="0"/>
    <pivotField showAll="0">
      <items count="5">
        <item x="1"/>
        <item x="2"/>
        <item x="0"/>
        <item x="3"/>
        <item t="default"/>
      </items>
    </pivotField>
    <pivotField showAll="0"/>
    <pivotField showAll="0"/>
    <pivotField showAll="0">
      <items count="4">
        <item x="0"/>
        <item x="1"/>
        <item x="2"/>
        <item t="default"/>
      </items>
    </pivotField>
  </pivotFields>
  <rowFields count="1">
    <field x="2"/>
  </rowFields>
  <rowItems count="5">
    <i>
      <x/>
    </i>
    <i>
      <x v="1"/>
    </i>
    <i>
      <x v="2"/>
    </i>
    <i>
      <x v="3"/>
    </i>
    <i>
      <x v="4"/>
    </i>
  </rowItems>
  <colItems count="1">
    <i/>
  </colItems>
  <dataFields count="1">
    <dataField name="Count of Name" fld="0" subtotal="count" baseField="0" baseItem="0"/>
  </dataFields>
  <chartFormats count="2">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B6" firstHeaderRow="1" firstDataRow="1" firstDataCol="1"/>
  <pivotFields count="8">
    <pivotField dataField="1" showAll="0"/>
    <pivotField showAll="0"/>
    <pivotField showAll="0">
      <items count="6">
        <item x="2"/>
        <item x="1"/>
        <item x="3"/>
        <item x="0"/>
        <item x="4"/>
        <item t="default"/>
      </items>
    </pivotField>
    <pivotField showAll="0"/>
    <pivotField showAll="0">
      <items count="5">
        <item x="1"/>
        <item x="2"/>
        <item x="0"/>
        <item x="3"/>
        <item t="default"/>
      </items>
    </pivotField>
    <pivotField showAll="0"/>
    <pivotField showAll="0"/>
    <pivotField axis="axisRow" showAll="0">
      <items count="4">
        <item x="0"/>
        <item x="1"/>
        <item x="2"/>
        <item t="default"/>
      </items>
    </pivotField>
  </pivotFields>
  <rowFields count="1">
    <field x="7"/>
  </rowFields>
  <rowItems count="3">
    <i>
      <x/>
    </i>
    <i>
      <x v="1"/>
    </i>
    <i>
      <x v="2"/>
    </i>
  </rowItems>
  <colItems count="1">
    <i/>
  </colItems>
  <dataFields count="1">
    <dataField name="Count of Name" fld="0" subtotal="count" baseField="0" baseItem="0"/>
  </dataFields>
  <chartFormats count="4">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 firstHeaderRow="0" firstDataRow="1" firstDataCol="0"/>
  <pivotFields count="8">
    <pivotField dataField="1" showAll="0"/>
    <pivotField showAll="0"/>
    <pivotField showAll="0">
      <items count="6">
        <item x="2"/>
        <item x="1"/>
        <item x="3"/>
        <item x="0"/>
        <item x="4"/>
        <item t="default"/>
      </items>
    </pivotField>
    <pivotField showAll="0"/>
    <pivotField dataField="1" showAll="0">
      <items count="5">
        <item x="1"/>
        <item x="2"/>
        <item x="0"/>
        <item x="3"/>
        <item t="default"/>
      </items>
    </pivotField>
    <pivotField showAll="0"/>
    <pivotField showAll="0"/>
    <pivotField showAll="0">
      <items count="4">
        <item x="0"/>
        <item x="1"/>
        <item x="2"/>
        <item t="default"/>
      </items>
    </pivotField>
  </pivotFields>
  <rowItems count="1">
    <i/>
  </rowItems>
  <colFields count="1">
    <field x="-2"/>
  </colFields>
  <colItems count="2">
    <i>
      <x/>
    </i>
    <i i="1">
      <x v="1"/>
    </i>
  </colItems>
  <dataFields count="2">
    <dataField name="Count of Name" fld="0" subtotal="count" baseField="0" baseItem="0"/>
    <dataField name="Sum of Fee Paid" fld="4"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9">
    <queryTableFields count="8">
      <queryTableField id="1" name="Name" tableColumnId="9"/>
      <queryTableField id="2" name="Email" tableColumnId="10"/>
      <queryTableField id="3" name="Course" tableColumnId="11"/>
      <queryTableField id="4" name="Registration Date" tableColumnId="12"/>
      <queryTableField id="5" name="Fee Paid" tableColumnId="13"/>
      <queryTableField id="6" name="Custom" tableColumnId="14"/>
      <queryTableField id="7" name="Course Start" tableColumnId="15"/>
      <queryTableField id="8" name="Fee Statu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rse" sourceName="Course">
  <pivotTables>
    <pivotTable tabId="12" name="PivotTable1"/>
    <pivotTable tabId="14" name="PivotTable2"/>
    <pivotTable tabId="16" name="PivotTable3"/>
  </pivotTables>
  <data>
    <tabular pivotCacheId="1">
      <items count="5">
        <i x="2" s="1"/>
        <i x="1" s="1"/>
        <i x="3" s="1"/>
        <i x="0"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ee_Status" sourceName="Fee Status">
  <pivotTables>
    <pivotTable tabId="12" name="PivotTable1"/>
    <pivotTable tabId="14" name="PivotTable2"/>
    <pivotTable tabId="16" name="PivotTable3"/>
  </pivotTables>
  <data>
    <tabular pivotCacheId="1">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rse" cache="Slicer_Course" caption="Course" rowHeight="234950"/>
  <slicer name="Fee Status" cache="Slicer_Fee_Status" caption="Fee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book1" displayName="book1" ref="A1:H67" tableType="queryTable" totalsRowShown="0">
  <autoFilter ref="A1:H67"/>
  <tableColumns count="8">
    <tableColumn id="9" uniqueName="9" name="Name" queryTableFieldId="1"/>
    <tableColumn id="10" uniqueName="10" name="Email" queryTableFieldId="2"/>
    <tableColumn id="11" uniqueName="11" name="Course" queryTableFieldId="3"/>
    <tableColumn id="12" uniqueName="12" name="Registration Date" queryTableFieldId="4"/>
    <tableColumn id="13" uniqueName="13" name="Fee Paid" queryTableFieldId="5"/>
    <tableColumn id="14" uniqueName="14" name="IDS" queryTableFieldId="6"/>
    <tableColumn id="15" uniqueName="15" name="Course Start" queryTableFieldId="7"/>
    <tableColumn id="16" uniqueName="16" name="Fee Status" queryTableFieldId="8"/>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L15" sqref="L15"/>
    </sheetView>
  </sheetViews>
  <sheetFormatPr defaultRowHeight="14.4" x14ac:dyDescent="0.3"/>
  <cols>
    <col min="1" max="1" width="19.44140625" customWidth="1"/>
    <col min="2" max="2" width="13.88671875" customWidth="1"/>
    <col min="3" max="3" width="17.77734375" bestFit="1" customWidth="1"/>
  </cols>
  <sheetData>
    <row r="3" spans="1:2" x14ac:dyDescent="0.3">
      <c r="A3" s="3" t="s">
        <v>90</v>
      </c>
      <c r="B3" t="s">
        <v>89</v>
      </c>
    </row>
    <row r="4" spans="1:2" x14ac:dyDescent="0.3">
      <c r="A4" s="4" t="s">
        <v>17</v>
      </c>
      <c r="B4" s="1">
        <v>2</v>
      </c>
    </row>
    <row r="5" spans="1:2" x14ac:dyDescent="0.3">
      <c r="A5" s="4" t="s">
        <v>13</v>
      </c>
      <c r="B5" s="1">
        <v>11</v>
      </c>
    </row>
    <row r="6" spans="1:2" x14ac:dyDescent="0.3">
      <c r="A6" s="4" t="s">
        <v>21</v>
      </c>
      <c r="B6" s="1">
        <v>6</v>
      </c>
    </row>
    <row r="7" spans="1:2" x14ac:dyDescent="0.3">
      <c r="A7" s="4" t="s">
        <v>9</v>
      </c>
      <c r="B7" s="1">
        <v>6</v>
      </c>
    </row>
    <row r="8" spans="1:2" x14ac:dyDescent="0.3">
      <c r="A8" s="4" t="s">
        <v>86</v>
      </c>
      <c r="B8" s="1"/>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M15" sqref="M15"/>
    </sheetView>
  </sheetViews>
  <sheetFormatPr defaultRowHeight="14.4" x14ac:dyDescent="0.3"/>
  <cols>
    <col min="1" max="1" width="12.5546875" bestFit="1" customWidth="1"/>
    <col min="2" max="2" width="13.88671875" bestFit="1" customWidth="1"/>
  </cols>
  <sheetData>
    <row r="3" spans="1:2" x14ac:dyDescent="0.3">
      <c r="A3" s="3" t="s">
        <v>85</v>
      </c>
      <c r="B3" t="s">
        <v>89</v>
      </c>
    </row>
    <row r="4" spans="1:2" x14ac:dyDescent="0.3">
      <c r="A4" s="4" t="s">
        <v>91</v>
      </c>
      <c r="B4" s="1">
        <v>15</v>
      </c>
    </row>
    <row r="5" spans="1:2" x14ac:dyDescent="0.3">
      <c r="A5" s="4" t="s">
        <v>92</v>
      </c>
      <c r="B5" s="1">
        <v>10</v>
      </c>
    </row>
    <row r="6" spans="1:2" x14ac:dyDescent="0.3">
      <c r="A6" s="4" t="s">
        <v>86</v>
      </c>
      <c r="B6" s="1"/>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workbookViewId="0">
      <selection activeCell="A3" sqref="A3"/>
    </sheetView>
  </sheetViews>
  <sheetFormatPr defaultRowHeight="14.4" x14ac:dyDescent="0.3"/>
  <cols>
    <col min="1" max="1" width="13.88671875" bestFit="1" customWidth="1"/>
    <col min="2" max="2" width="14.5546875" customWidth="1"/>
  </cols>
  <sheetData>
    <row r="3" spans="1:2" x14ac:dyDescent="0.3">
      <c r="A3" t="s">
        <v>89</v>
      </c>
      <c r="B3" t="s">
        <v>87</v>
      </c>
    </row>
    <row r="4" spans="1:2" x14ac:dyDescent="0.3">
      <c r="A4" s="1">
        <v>25</v>
      </c>
      <c r="B4" s="1">
        <v>9250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K26" sqref="K2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
  <sheetViews>
    <sheetView topLeftCell="A2" workbookViewId="0">
      <selection activeCell="A2" sqref="A2:H26"/>
    </sheetView>
  </sheetViews>
  <sheetFormatPr defaultRowHeight="14.4" x14ac:dyDescent="0.3"/>
  <cols>
    <col min="1" max="1" width="15.109375" bestFit="1" customWidth="1"/>
    <col min="2" max="2" width="32.6640625" bestFit="1" customWidth="1"/>
    <col min="3" max="3" width="19.44140625" bestFit="1" customWidth="1"/>
    <col min="4" max="4" width="17.6640625" bestFit="1" customWidth="1"/>
    <col min="5" max="5" width="10.21875" bestFit="1" customWidth="1"/>
    <col min="6" max="6" width="9.77734375" bestFit="1" customWidth="1"/>
    <col min="7" max="7" width="13.44140625" bestFit="1" customWidth="1"/>
    <col min="8" max="8" width="11.77734375" bestFit="1" customWidth="1"/>
  </cols>
  <sheetData>
    <row r="1" spans="1:8" x14ac:dyDescent="0.3">
      <c r="A1" s="1" t="s">
        <v>0</v>
      </c>
      <c r="B1" s="1" t="s">
        <v>1</v>
      </c>
      <c r="C1" s="1" t="s">
        <v>2</v>
      </c>
      <c r="D1" s="1" t="s">
        <v>3</v>
      </c>
      <c r="E1" s="1" t="s">
        <v>4</v>
      </c>
      <c r="F1" s="1" t="s">
        <v>88</v>
      </c>
      <c r="G1" s="1" t="s">
        <v>5</v>
      </c>
      <c r="H1" s="1" t="s">
        <v>6</v>
      </c>
    </row>
    <row r="2" spans="1:8" x14ac:dyDescent="0.3">
      <c r="A2" s="1" t="s">
        <v>7</v>
      </c>
      <c r="B2" s="1" t="s">
        <v>8</v>
      </c>
      <c r="C2" s="1" t="s">
        <v>9</v>
      </c>
      <c r="D2" s="2">
        <v>44909</v>
      </c>
      <c r="E2" s="1">
        <v>500</v>
      </c>
      <c r="F2" s="1" t="s">
        <v>10</v>
      </c>
      <c r="G2" s="5">
        <v>44958</v>
      </c>
      <c r="H2" s="1" t="str">
        <f>IF(E2="", "Not Paid", IF(E2&gt;=500, "Fully Paid", "Partly Paid"))</f>
        <v>Fully Paid</v>
      </c>
    </row>
    <row r="3" spans="1:8" x14ac:dyDescent="0.3">
      <c r="A3" s="1" t="s">
        <v>11</v>
      </c>
      <c r="B3" s="1" t="s">
        <v>12</v>
      </c>
      <c r="C3" s="1" t="s">
        <v>13</v>
      </c>
      <c r="D3" s="2">
        <v>44925</v>
      </c>
      <c r="E3" s="1">
        <v>500</v>
      </c>
      <c r="F3" s="1" t="s">
        <v>14</v>
      </c>
      <c r="G3" s="5">
        <v>45017</v>
      </c>
      <c r="H3" s="1" t="str">
        <f t="shared" ref="H3:H26" si="0">IF(E3="", "Not Paid", IF(E3&gt;=500, "Fully Paid", "Partly Paid"))</f>
        <v>Fully Paid</v>
      </c>
    </row>
    <row r="4" spans="1:8" x14ac:dyDescent="0.3">
      <c r="A4" s="1" t="s">
        <v>15</v>
      </c>
      <c r="B4" s="1" t="s">
        <v>16</v>
      </c>
      <c r="C4" s="1" t="s">
        <v>17</v>
      </c>
      <c r="D4" s="2">
        <v>44899</v>
      </c>
      <c r="E4" s="1">
        <v>500</v>
      </c>
      <c r="F4" s="1" t="s">
        <v>18</v>
      </c>
      <c r="G4" s="5">
        <v>44958</v>
      </c>
      <c r="H4" s="1" t="str">
        <f t="shared" si="0"/>
        <v>Fully Paid</v>
      </c>
    </row>
    <row r="5" spans="1:8" x14ac:dyDescent="0.3">
      <c r="A5" s="1" t="s">
        <v>19</v>
      </c>
      <c r="B5" s="1" t="s">
        <v>20</v>
      </c>
      <c r="C5" s="1" t="s">
        <v>21</v>
      </c>
      <c r="D5" s="2">
        <v>44902</v>
      </c>
      <c r="E5" s="1">
        <v>500</v>
      </c>
      <c r="F5" s="1" t="s">
        <v>22</v>
      </c>
      <c r="G5" s="5">
        <v>44958</v>
      </c>
      <c r="H5" s="1" t="str">
        <f t="shared" si="0"/>
        <v>Fully Paid</v>
      </c>
    </row>
    <row r="6" spans="1:8" x14ac:dyDescent="0.3">
      <c r="A6" s="1" t="s">
        <v>23</v>
      </c>
      <c r="B6" s="1" t="s">
        <v>24</v>
      </c>
      <c r="C6" s="1" t="s">
        <v>13</v>
      </c>
      <c r="D6" s="2">
        <v>44925</v>
      </c>
      <c r="E6" s="1">
        <v>100</v>
      </c>
      <c r="F6" s="1" t="s">
        <v>25</v>
      </c>
      <c r="G6" s="5">
        <v>45017</v>
      </c>
      <c r="H6" s="1" t="str">
        <f t="shared" si="0"/>
        <v>Partly Paid</v>
      </c>
    </row>
    <row r="7" spans="1:8" x14ac:dyDescent="0.3">
      <c r="A7" s="1" t="s">
        <v>26</v>
      </c>
      <c r="B7" s="1" t="s">
        <v>27</v>
      </c>
      <c r="C7" s="1" t="s">
        <v>21</v>
      </c>
      <c r="D7" s="2">
        <v>44917</v>
      </c>
      <c r="E7" s="1">
        <v>500</v>
      </c>
      <c r="F7" s="1" t="s">
        <v>28</v>
      </c>
      <c r="G7" s="5">
        <v>45017</v>
      </c>
      <c r="H7" s="1" t="str">
        <f t="shared" si="0"/>
        <v>Fully Paid</v>
      </c>
    </row>
    <row r="8" spans="1:8" x14ac:dyDescent="0.3">
      <c r="A8" s="1" t="s">
        <v>29</v>
      </c>
      <c r="B8" s="1" t="s">
        <v>30</v>
      </c>
      <c r="C8" s="1" t="s">
        <v>21</v>
      </c>
      <c r="D8" s="2">
        <v>44902</v>
      </c>
      <c r="E8" s="1">
        <v>500</v>
      </c>
      <c r="F8" s="1" t="s">
        <v>31</v>
      </c>
      <c r="G8" s="5">
        <v>44958</v>
      </c>
      <c r="H8" s="1" t="str">
        <f t="shared" si="0"/>
        <v>Fully Paid</v>
      </c>
    </row>
    <row r="9" spans="1:8" x14ac:dyDescent="0.3">
      <c r="A9" s="1" t="s">
        <v>32</v>
      </c>
      <c r="B9" s="1" t="s">
        <v>33</v>
      </c>
      <c r="C9" s="1" t="s">
        <v>13</v>
      </c>
      <c r="D9" s="2">
        <v>44897</v>
      </c>
      <c r="E9" s="1">
        <v>500</v>
      </c>
      <c r="F9" s="1" t="s">
        <v>34</v>
      </c>
      <c r="G9" s="5">
        <v>44958</v>
      </c>
      <c r="H9" s="1" t="str">
        <f t="shared" si="0"/>
        <v>Fully Paid</v>
      </c>
    </row>
    <row r="10" spans="1:8" x14ac:dyDescent="0.3">
      <c r="A10" s="1" t="s">
        <v>35</v>
      </c>
      <c r="B10" s="1" t="s">
        <v>36</v>
      </c>
      <c r="C10" s="1" t="s">
        <v>13</v>
      </c>
      <c r="D10" s="2">
        <v>44905</v>
      </c>
      <c r="E10" s="1">
        <v>500</v>
      </c>
      <c r="F10" s="1" t="s">
        <v>37</v>
      </c>
      <c r="G10" s="5">
        <v>44958</v>
      </c>
      <c r="H10" s="1" t="str">
        <f t="shared" si="0"/>
        <v>Fully Paid</v>
      </c>
    </row>
    <row r="11" spans="1:8" x14ac:dyDescent="0.3">
      <c r="A11" s="1" t="s">
        <v>38</v>
      </c>
      <c r="B11" s="1" t="s">
        <v>39</v>
      </c>
      <c r="C11" s="1" t="s">
        <v>13</v>
      </c>
      <c r="D11" s="2">
        <v>44916</v>
      </c>
      <c r="E11" s="1">
        <v>500</v>
      </c>
      <c r="F11" s="1" t="s">
        <v>40</v>
      </c>
      <c r="G11" s="5">
        <v>45017</v>
      </c>
      <c r="H11" s="1" t="str">
        <f t="shared" si="0"/>
        <v>Fully Paid</v>
      </c>
    </row>
    <row r="12" spans="1:8" x14ac:dyDescent="0.3">
      <c r="A12" s="1" t="s">
        <v>41</v>
      </c>
      <c r="B12" s="1" t="s">
        <v>42</v>
      </c>
      <c r="C12" s="1" t="s">
        <v>9</v>
      </c>
      <c r="D12" s="2">
        <v>44921</v>
      </c>
      <c r="E12" s="1">
        <v>250</v>
      </c>
      <c r="F12" s="1" t="s">
        <v>31</v>
      </c>
      <c r="G12" s="5">
        <v>45017</v>
      </c>
      <c r="H12" s="1" t="str">
        <f t="shared" si="0"/>
        <v>Partly Paid</v>
      </c>
    </row>
    <row r="13" spans="1:8" x14ac:dyDescent="0.3">
      <c r="A13" s="1" t="s">
        <v>43</v>
      </c>
      <c r="B13" s="1" t="s">
        <v>44</v>
      </c>
      <c r="C13" s="1" t="s">
        <v>9</v>
      </c>
      <c r="D13" s="2">
        <v>44912</v>
      </c>
      <c r="E13" s="1">
        <v>500</v>
      </c>
      <c r="F13" s="1" t="s">
        <v>45</v>
      </c>
      <c r="G13" s="5">
        <v>45017</v>
      </c>
      <c r="H13" s="1" t="str">
        <f t="shared" si="0"/>
        <v>Fully Paid</v>
      </c>
    </row>
    <row r="14" spans="1:8" x14ac:dyDescent="0.3">
      <c r="A14" s="1" t="s">
        <v>46</v>
      </c>
      <c r="B14" s="1" t="s">
        <v>47</v>
      </c>
      <c r="C14" s="1" t="s">
        <v>13</v>
      </c>
      <c r="D14" s="2">
        <v>44910</v>
      </c>
      <c r="E14" s="1">
        <v>250</v>
      </c>
      <c r="F14" s="1" t="s">
        <v>48</v>
      </c>
      <c r="G14" s="5">
        <v>45017</v>
      </c>
      <c r="H14" s="1" t="str">
        <f t="shared" si="0"/>
        <v>Partly Paid</v>
      </c>
    </row>
    <row r="15" spans="1:8" x14ac:dyDescent="0.3">
      <c r="A15" s="1" t="s">
        <v>49</v>
      </c>
      <c r="B15" s="1" t="s">
        <v>50</v>
      </c>
      <c r="C15" s="1" t="s">
        <v>13</v>
      </c>
      <c r="D15" s="2">
        <v>44898</v>
      </c>
      <c r="E15" s="1">
        <v>500</v>
      </c>
      <c r="F15" s="1" t="s">
        <v>51</v>
      </c>
      <c r="G15" s="5">
        <v>44958</v>
      </c>
      <c r="H15" s="1" t="str">
        <f t="shared" si="0"/>
        <v>Fully Paid</v>
      </c>
    </row>
    <row r="16" spans="1:8" x14ac:dyDescent="0.3">
      <c r="A16" s="1" t="s">
        <v>52</v>
      </c>
      <c r="B16" s="1" t="s">
        <v>53</v>
      </c>
      <c r="C16" s="1" t="s">
        <v>13</v>
      </c>
      <c r="D16" s="2">
        <v>44919</v>
      </c>
      <c r="E16" s="1">
        <v>500</v>
      </c>
      <c r="F16" s="1" t="s">
        <v>54</v>
      </c>
      <c r="G16" s="5">
        <v>45017</v>
      </c>
      <c r="H16" s="1" t="str">
        <f t="shared" si="0"/>
        <v>Fully Paid</v>
      </c>
    </row>
    <row r="17" spans="1:8" x14ac:dyDescent="0.3">
      <c r="A17" s="1" t="s">
        <v>55</v>
      </c>
      <c r="B17" s="1" t="s">
        <v>56</v>
      </c>
      <c r="C17" s="1" t="s">
        <v>9</v>
      </c>
      <c r="D17" s="2">
        <v>44923</v>
      </c>
      <c r="E17" s="1">
        <v>500</v>
      </c>
      <c r="F17" s="1" t="s">
        <v>57</v>
      </c>
      <c r="G17" s="5">
        <v>45017</v>
      </c>
      <c r="H17" s="1" t="str">
        <f t="shared" si="0"/>
        <v>Fully Paid</v>
      </c>
    </row>
    <row r="18" spans="1:8" x14ac:dyDescent="0.3">
      <c r="A18" s="1" t="s">
        <v>58</v>
      </c>
      <c r="B18" s="1" t="s">
        <v>59</v>
      </c>
      <c r="C18" s="1" t="s">
        <v>17</v>
      </c>
      <c r="D18" s="2">
        <v>44911</v>
      </c>
      <c r="E18" s="1">
        <v>250</v>
      </c>
      <c r="F18" s="1" t="s">
        <v>60</v>
      </c>
      <c r="G18" s="5">
        <v>45017</v>
      </c>
      <c r="H18" s="1" t="str">
        <f t="shared" si="0"/>
        <v>Partly Paid</v>
      </c>
    </row>
    <row r="19" spans="1:8" x14ac:dyDescent="0.3">
      <c r="A19" s="1" t="s">
        <v>61</v>
      </c>
      <c r="B19" s="1" t="s">
        <v>62</v>
      </c>
      <c r="C19" s="1" t="s">
        <v>13</v>
      </c>
      <c r="D19" s="2">
        <v>44918</v>
      </c>
      <c r="E19" s="1">
        <v>250</v>
      </c>
      <c r="F19" s="1" t="s">
        <v>63</v>
      </c>
      <c r="G19" s="5">
        <v>45017</v>
      </c>
      <c r="H19" s="1" t="str">
        <f t="shared" si="0"/>
        <v>Partly Paid</v>
      </c>
    </row>
    <row r="20" spans="1:8" x14ac:dyDescent="0.3">
      <c r="A20" s="1" t="s">
        <v>64</v>
      </c>
      <c r="B20" s="1" t="s">
        <v>65</v>
      </c>
      <c r="C20" s="1" t="s">
        <v>21</v>
      </c>
      <c r="D20" s="2">
        <v>44921</v>
      </c>
      <c r="E20" s="1">
        <v>250</v>
      </c>
      <c r="F20" s="1" t="s">
        <v>66</v>
      </c>
      <c r="G20" s="5">
        <v>45017</v>
      </c>
      <c r="H20" s="1" t="str">
        <f t="shared" si="0"/>
        <v>Partly Paid</v>
      </c>
    </row>
    <row r="21" spans="1:8" x14ac:dyDescent="0.3">
      <c r="A21" s="1" t="s">
        <v>67</v>
      </c>
      <c r="B21" s="1" t="s">
        <v>68</v>
      </c>
      <c r="C21" s="1" t="s">
        <v>9</v>
      </c>
      <c r="D21" s="2">
        <v>44898</v>
      </c>
      <c r="E21" s="1">
        <v>100</v>
      </c>
      <c r="F21" s="1" t="s">
        <v>69</v>
      </c>
      <c r="G21" s="5">
        <v>44958</v>
      </c>
      <c r="H21" s="1" t="str">
        <f t="shared" si="0"/>
        <v>Partly Paid</v>
      </c>
    </row>
    <row r="22" spans="1:8" x14ac:dyDescent="0.3">
      <c r="A22" s="1" t="s">
        <v>70</v>
      </c>
      <c r="B22" s="1" t="s">
        <v>71</v>
      </c>
      <c r="C22" s="1" t="s">
        <v>13</v>
      </c>
      <c r="D22" s="2">
        <v>44913</v>
      </c>
      <c r="E22" s="1">
        <v>500</v>
      </c>
      <c r="F22" s="1" t="s">
        <v>72</v>
      </c>
      <c r="G22" s="5">
        <v>45017</v>
      </c>
      <c r="H22" s="1" t="str">
        <f t="shared" si="0"/>
        <v>Fully Paid</v>
      </c>
    </row>
    <row r="23" spans="1:8" x14ac:dyDescent="0.3">
      <c r="A23" s="1" t="s">
        <v>73</v>
      </c>
      <c r="B23" s="1" t="s">
        <v>74</v>
      </c>
      <c r="C23" s="1" t="s">
        <v>21</v>
      </c>
      <c r="D23" s="2">
        <v>44915</v>
      </c>
      <c r="E23" s="1">
        <v>500</v>
      </c>
      <c r="F23" s="1" t="s">
        <v>75</v>
      </c>
      <c r="G23" s="5">
        <v>45017</v>
      </c>
      <c r="H23" s="1" t="str">
        <f t="shared" si="0"/>
        <v>Fully Paid</v>
      </c>
    </row>
    <row r="24" spans="1:8" x14ac:dyDescent="0.3">
      <c r="A24" s="1" t="s">
        <v>76</v>
      </c>
      <c r="B24" s="1" t="s">
        <v>77</v>
      </c>
      <c r="C24" s="1" t="s">
        <v>21</v>
      </c>
      <c r="D24" s="2">
        <v>44922</v>
      </c>
      <c r="E24" s="1">
        <v>100</v>
      </c>
      <c r="F24" s="1" t="s">
        <v>78</v>
      </c>
      <c r="G24" s="5">
        <v>45017</v>
      </c>
      <c r="H24" s="1" t="str">
        <f t="shared" si="0"/>
        <v>Partly Paid</v>
      </c>
    </row>
    <row r="25" spans="1:8" x14ac:dyDescent="0.3">
      <c r="A25" s="1" t="s">
        <v>79</v>
      </c>
      <c r="B25" s="1" t="s">
        <v>80</v>
      </c>
      <c r="C25" s="1" t="s">
        <v>9</v>
      </c>
      <c r="D25" s="2">
        <v>44905</v>
      </c>
      <c r="E25" s="1">
        <v>100</v>
      </c>
      <c r="F25" s="1" t="s">
        <v>81</v>
      </c>
      <c r="G25" s="5">
        <v>44958</v>
      </c>
      <c r="H25" s="1" t="str">
        <f t="shared" si="0"/>
        <v>Partly Paid</v>
      </c>
    </row>
    <row r="26" spans="1:8" x14ac:dyDescent="0.3">
      <c r="A26" s="1" t="s">
        <v>82</v>
      </c>
      <c r="B26" s="1" t="s">
        <v>83</v>
      </c>
      <c r="C26" s="1" t="s">
        <v>13</v>
      </c>
      <c r="D26" s="2">
        <v>44919</v>
      </c>
      <c r="E26" s="1">
        <v>100</v>
      </c>
      <c r="F26" s="1" t="s">
        <v>84</v>
      </c>
      <c r="G26" s="5">
        <v>45017</v>
      </c>
      <c r="H26" s="1" t="str">
        <f t="shared" si="0"/>
        <v>Partly Paid</v>
      </c>
    </row>
    <row r="27" spans="1:8" x14ac:dyDescent="0.3">
      <c r="A27" s="1"/>
      <c r="B27" s="1"/>
      <c r="C27" s="1"/>
      <c r="D27" s="2"/>
      <c r="E27" s="1"/>
      <c r="F27" s="1"/>
      <c r="G27" s="1"/>
      <c r="H27" s="1"/>
    </row>
    <row r="28" spans="1:8" x14ac:dyDescent="0.3">
      <c r="A28" s="1"/>
      <c r="B28" s="1"/>
      <c r="C28" s="1"/>
      <c r="D28" s="2"/>
      <c r="E28" s="1"/>
      <c r="F28" s="1"/>
      <c r="G28" s="1"/>
      <c r="H28" s="1"/>
    </row>
    <row r="29" spans="1:8" x14ac:dyDescent="0.3">
      <c r="A29" s="1"/>
      <c r="B29" s="1"/>
      <c r="C29" s="1"/>
      <c r="D29" s="2"/>
      <c r="E29" s="1"/>
      <c r="F29" s="1"/>
      <c r="G29" s="1"/>
      <c r="H29" s="1"/>
    </row>
    <row r="30" spans="1:8" x14ac:dyDescent="0.3">
      <c r="A30" s="1"/>
      <c r="B30" s="1"/>
      <c r="C30" s="1"/>
      <c r="D30" s="2"/>
      <c r="E30" s="1"/>
      <c r="F30" s="1"/>
      <c r="G30" s="1"/>
      <c r="H30" s="1"/>
    </row>
    <row r="31" spans="1:8" x14ac:dyDescent="0.3">
      <c r="A31" s="1"/>
      <c r="B31" s="1"/>
      <c r="C31" s="1"/>
      <c r="D31" s="2"/>
      <c r="E31" s="1"/>
      <c r="F31" s="1"/>
      <c r="G31" s="1"/>
      <c r="H31" s="1"/>
    </row>
    <row r="32" spans="1:8" x14ac:dyDescent="0.3">
      <c r="A32" s="1"/>
      <c r="B32" s="1"/>
      <c r="C32" s="1"/>
      <c r="D32" s="2"/>
      <c r="E32" s="1"/>
      <c r="F32" s="1"/>
      <c r="G32" s="1"/>
      <c r="H32" s="1"/>
    </row>
    <row r="33" spans="1:8" x14ac:dyDescent="0.3">
      <c r="A33" s="1"/>
      <c r="B33" s="1"/>
      <c r="C33" s="1"/>
      <c r="D33" s="2"/>
      <c r="E33" s="1"/>
      <c r="F33" s="1"/>
      <c r="G33" s="1"/>
      <c r="H33" s="1"/>
    </row>
    <row r="34" spans="1:8" x14ac:dyDescent="0.3">
      <c r="A34" s="1"/>
      <c r="B34" s="1"/>
      <c r="C34" s="1"/>
      <c r="D34" s="2"/>
      <c r="E34" s="1"/>
      <c r="F34" s="1"/>
      <c r="G34" s="1"/>
      <c r="H34" s="1"/>
    </row>
    <row r="35" spans="1:8" x14ac:dyDescent="0.3">
      <c r="A35" s="1"/>
      <c r="B35" s="1"/>
      <c r="C35" s="1"/>
      <c r="D35" s="2"/>
      <c r="E35" s="1"/>
      <c r="F35" s="1"/>
      <c r="G35" s="1"/>
      <c r="H35" s="1"/>
    </row>
    <row r="36" spans="1:8" x14ac:dyDescent="0.3">
      <c r="A36" s="1"/>
      <c r="B36" s="1"/>
      <c r="C36" s="1"/>
      <c r="D36" s="2"/>
      <c r="E36" s="1"/>
      <c r="F36" s="1"/>
      <c r="G36" s="1"/>
      <c r="H36" s="1"/>
    </row>
    <row r="37" spans="1:8" x14ac:dyDescent="0.3">
      <c r="A37" s="1"/>
      <c r="B37" s="1"/>
      <c r="C37" s="1"/>
      <c r="D37" s="2"/>
      <c r="E37" s="1"/>
      <c r="F37" s="1"/>
      <c r="G37" s="1"/>
      <c r="H37" s="1"/>
    </row>
    <row r="38" spans="1:8" x14ac:dyDescent="0.3">
      <c r="A38" s="1"/>
      <c r="B38" s="1"/>
      <c r="C38" s="1"/>
      <c r="D38" s="2"/>
      <c r="E38" s="1"/>
      <c r="F38" s="1"/>
      <c r="G38" s="1"/>
      <c r="H38" s="1"/>
    </row>
    <row r="39" spans="1:8" x14ac:dyDescent="0.3">
      <c r="A39" s="1"/>
      <c r="B39" s="1"/>
      <c r="C39" s="1"/>
      <c r="D39" s="2"/>
      <c r="E39" s="1"/>
      <c r="F39" s="1"/>
      <c r="G39" s="1"/>
      <c r="H39" s="1"/>
    </row>
    <row r="40" spans="1:8" x14ac:dyDescent="0.3">
      <c r="A40" s="1"/>
      <c r="B40" s="1"/>
      <c r="C40" s="1"/>
      <c r="D40" s="2"/>
      <c r="E40" s="1"/>
      <c r="F40" s="1"/>
      <c r="G40" s="1"/>
      <c r="H40" s="1"/>
    </row>
    <row r="41" spans="1:8" x14ac:dyDescent="0.3">
      <c r="A41" s="1"/>
      <c r="B41" s="1"/>
      <c r="C41" s="1"/>
      <c r="D41" s="2"/>
      <c r="E41" s="1"/>
      <c r="F41" s="1"/>
      <c r="G41" s="1"/>
      <c r="H41" s="1"/>
    </row>
    <row r="42" spans="1:8" x14ac:dyDescent="0.3">
      <c r="A42" s="1"/>
      <c r="B42" s="1"/>
      <c r="C42" s="1"/>
      <c r="D42" s="2"/>
      <c r="E42" s="1"/>
      <c r="F42" s="1"/>
      <c r="G42" s="1"/>
      <c r="H42" s="1"/>
    </row>
    <row r="43" spans="1:8" x14ac:dyDescent="0.3">
      <c r="A43" s="1"/>
      <c r="B43" s="1"/>
      <c r="C43" s="1"/>
      <c r="D43" s="2"/>
      <c r="E43" s="1"/>
      <c r="F43" s="1"/>
      <c r="G43" s="1"/>
      <c r="H43" s="1"/>
    </row>
    <row r="44" spans="1:8" x14ac:dyDescent="0.3">
      <c r="A44" s="1"/>
      <c r="B44" s="1"/>
      <c r="C44" s="1"/>
      <c r="D44" s="2"/>
      <c r="E44" s="1"/>
      <c r="F44" s="1"/>
      <c r="G44" s="1"/>
      <c r="H44" s="1"/>
    </row>
    <row r="45" spans="1:8" x14ac:dyDescent="0.3">
      <c r="A45" s="1"/>
      <c r="B45" s="1"/>
      <c r="C45" s="1"/>
      <c r="D45" s="2"/>
      <c r="E45" s="1"/>
      <c r="F45" s="1"/>
      <c r="G45" s="1"/>
      <c r="H45" s="1"/>
    </row>
    <row r="46" spans="1:8" x14ac:dyDescent="0.3">
      <c r="A46" s="1"/>
      <c r="B46" s="1"/>
      <c r="C46" s="1"/>
      <c r="D46" s="2"/>
      <c r="E46" s="1"/>
      <c r="F46" s="1"/>
      <c r="G46" s="1"/>
      <c r="H46" s="1"/>
    </row>
    <row r="47" spans="1:8" x14ac:dyDescent="0.3">
      <c r="A47" s="1"/>
      <c r="B47" s="1"/>
      <c r="C47" s="1"/>
      <c r="D47" s="2"/>
      <c r="E47" s="1"/>
      <c r="F47" s="1"/>
      <c r="G47" s="1"/>
      <c r="H47" s="1"/>
    </row>
    <row r="48" spans="1:8" x14ac:dyDescent="0.3">
      <c r="A48" s="1"/>
      <c r="B48" s="1"/>
      <c r="C48" s="1"/>
      <c r="D48" s="2"/>
      <c r="E48" s="1"/>
      <c r="F48" s="1"/>
      <c r="G48" s="1"/>
      <c r="H48" s="1"/>
    </row>
    <row r="49" spans="1:8" x14ac:dyDescent="0.3">
      <c r="A49" s="1"/>
      <c r="B49" s="1"/>
      <c r="C49" s="1"/>
      <c r="D49" s="2"/>
      <c r="E49" s="1"/>
      <c r="F49" s="1"/>
      <c r="G49" s="1"/>
      <c r="H49" s="1"/>
    </row>
    <row r="50" spans="1:8" x14ac:dyDescent="0.3">
      <c r="A50" s="1"/>
      <c r="B50" s="1"/>
      <c r="C50" s="1"/>
      <c r="D50" s="2"/>
      <c r="E50" s="1"/>
      <c r="F50" s="1"/>
      <c r="G50" s="1"/>
      <c r="H50" s="1"/>
    </row>
    <row r="51" spans="1:8" x14ac:dyDescent="0.3">
      <c r="A51" s="1"/>
      <c r="B51" s="1"/>
      <c r="C51" s="1"/>
      <c r="D51" s="2"/>
      <c r="E51" s="1"/>
      <c r="F51" s="1"/>
      <c r="G51" s="1"/>
      <c r="H51" s="1"/>
    </row>
    <row r="52" spans="1:8" x14ac:dyDescent="0.3">
      <c r="A52" s="1"/>
      <c r="B52" s="1"/>
      <c r="C52" s="1"/>
      <c r="D52" s="2"/>
      <c r="E52" s="1"/>
      <c r="F52" s="1"/>
      <c r="G52" s="1"/>
      <c r="H52" s="1"/>
    </row>
    <row r="53" spans="1:8" x14ac:dyDescent="0.3">
      <c r="A53" s="1"/>
      <c r="B53" s="1"/>
      <c r="C53" s="1"/>
      <c r="D53" s="2"/>
      <c r="E53" s="1"/>
      <c r="F53" s="1"/>
      <c r="G53" s="1"/>
      <c r="H53" s="1"/>
    </row>
    <row r="54" spans="1:8" x14ac:dyDescent="0.3">
      <c r="A54" s="1"/>
      <c r="B54" s="1"/>
      <c r="C54" s="1"/>
      <c r="D54" s="2"/>
      <c r="E54" s="1"/>
      <c r="F54" s="1"/>
      <c r="G54" s="1"/>
      <c r="H54" s="1"/>
    </row>
    <row r="55" spans="1:8" x14ac:dyDescent="0.3">
      <c r="A55" s="1"/>
      <c r="B55" s="1"/>
      <c r="C55" s="1"/>
      <c r="D55" s="2"/>
      <c r="E55" s="1"/>
      <c r="F55" s="1"/>
      <c r="G55" s="1"/>
      <c r="H55" s="1"/>
    </row>
    <row r="56" spans="1:8" x14ac:dyDescent="0.3">
      <c r="A56" s="1"/>
      <c r="B56" s="1"/>
      <c r="C56" s="1"/>
      <c r="D56" s="2"/>
      <c r="E56" s="1"/>
      <c r="F56" s="1"/>
      <c r="G56" s="1"/>
      <c r="H56" s="1"/>
    </row>
    <row r="57" spans="1:8" x14ac:dyDescent="0.3">
      <c r="A57" s="1"/>
      <c r="B57" s="1"/>
      <c r="C57" s="1"/>
      <c r="D57" s="2"/>
      <c r="E57" s="1"/>
      <c r="F57" s="1"/>
      <c r="G57" s="1"/>
      <c r="H57" s="1"/>
    </row>
    <row r="58" spans="1:8" x14ac:dyDescent="0.3">
      <c r="A58" s="1"/>
      <c r="B58" s="1"/>
      <c r="C58" s="1"/>
      <c r="D58" s="2"/>
      <c r="E58" s="1"/>
      <c r="F58" s="1"/>
      <c r="G58" s="1"/>
      <c r="H58" s="1"/>
    </row>
    <row r="59" spans="1:8" x14ac:dyDescent="0.3">
      <c r="A59" s="1"/>
      <c r="B59" s="1"/>
      <c r="C59" s="1"/>
      <c r="D59" s="2"/>
      <c r="E59" s="1"/>
      <c r="F59" s="1"/>
      <c r="G59" s="1"/>
      <c r="H59" s="1"/>
    </row>
    <row r="60" spans="1:8" x14ac:dyDescent="0.3">
      <c r="A60" s="1"/>
      <c r="B60" s="1"/>
      <c r="C60" s="1"/>
      <c r="D60" s="2"/>
      <c r="E60" s="1"/>
      <c r="F60" s="1"/>
      <c r="G60" s="1"/>
      <c r="H60" s="1"/>
    </row>
    <row r="61" spans="1:8" x14ac:dyDescent="0.3">
      <c r="A61" s="1"/>
      <c r="B61" s="1"/>
      <c r="C61" s="1"/>
      <c r="D61" s="2"/>
      <c r="E61" s="1"/>
      <c r="F61" s="1"/>
      <c r="G61" s="1"/>
      <c r="H61" s="1"/>
    </row>
    <row r="62" spans="1:8" x14ac:dyDescent="0.3">
      <c r="A62" s="1"/>
      <c r="B62" s="1"/>
      <c r="C62" s="1"/>
      <c r="D62" s="2"/>
      <c r="E62" s="1"/>
      <c r="F62" s="1"/>
      <c r="G62" s="1"/>
      <c r="H62" s="1"/>
    </row>
    <row r="63" spans="1:8" x14ac:dyDescent="0.3">
      <c r="A63" s="1"/>
      <c r="B63" s="1"/>
      <c r="C63" s="1"/>
      <c r="D63" s="2"/>
      <c r="E63" s="1"/>
      <c r="F63" s="1"/>
      <c r="G63" s="1"/>
      <c r="H63" s="1"/>
    </row>
    <row r="64" spans="1:8" x14ac:dyDescent="0.3">
      <c r="A64" s="1"/>
      <c r="B64" s="1"/>
      <c r="C64" s="1"/>
      <c r="D64" s="2"/>
      <c r="E64" s="1"/>
      <c r="F64" s="1"/>
      <c r="G64" s="1"/>
      <c r="H64" s="1"/>
    </row>
    <row r="65" spans="1:8" x14ac:dyDescent="0.3">
      <c r="A65" s="1"/>
      <c r="B65" s="1"/>
      <c r="C65" s="1"/>
      <c r="D65" s="2"/>
      <c r="E65" s="1"/>
      <c r="F65" s="1"/>
      <c r="G65" s="1"/>
      <c r="H65" s="1"/>
    </row>
    <row r="66" spans="1:8" x14ac:dyDescent="0.3">
      <c r="A66" s="1"/>
      <c r="B66" s="1"/>
      <c r="C66" s="1"/>
      <c r="D66" s="2"/>
      <c r="E66" s="1"/>
      <c r="F66" s="1"/>
      <c r="G66" s="1"/>
      <c r="H66" s="1"/>
    </row>
    <row r="67" spans="1:8" x14ac:dyDescent="0.3">
      <c r="A67" s="1"/>
      <c r="B67" s="1"/>
      <c r="C67" s="1"/>
      <c r="D67" s="2"/>
      <c r="E67" s="1"/>
      <c r="F67" s="1"/>
      <c r="G67" s="1"/>
      <c r="H67" s="1"/>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4269D2-7CE7-498D-A938-188A878AC6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course wise enrollment</vt:lpstr>
      <vt:lpstr>Fees Status Breakdown</vt:lpstr>
      <vt:lpstr>KPI metrics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 BUY PC</dc:creator>
  <cp:lastModifiedBy>JUST BUY PC</cp:lastModifiedBy>
  <dcterms:created xsi:type="dcterms:W3CDTF">2026-05-19T13:54:53Z</dcterms:created>
  <dcterms:modified xsi:type="dcterms:W3CDTF">2026-05-19T18:51:35Z</dcterms:modified>
</cp:coreProperties>
</file>